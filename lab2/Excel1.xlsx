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Sensitivity Report" sheetId="2" r:id="rId1"/>
    <sheet name="Excel" sheetId="1" r:id="rId2"/>
  </sheets>
  <definedNames>
    <definedName name="solver_opt" localSheetId="1" hidden="1">Excel!$B$12</definedName>
    <definedName name="solver_typ" localSheetId="1" hidden="1">1</definedName>
    <definedName name="solver_val" localSheetId="1" hidden="1">0</definedName>
    <definedName name="solver_adj" localSheetId="1" hidden="1">Excel!$B$9:$E$9</definedName>
    <definedName name="solver_neg" localSheetId="1" hidden="1">1</definedName>
    <definedName name="solver_num" localSheetId="1" hidden="1">1</definedName>
    <definedName name="solver_lin" localSheetId="1" hidden="1">1</definedName>
    <definedName name="solver_eng" localSheetId="1" hidden="1">2</definedName>
    <definedName name="solver_ver" localSheetId="1" hidden="1">3</definedName>
    <definedName name="solver_lhs1" localSheetId="1" hidden="1">Excel!$F$2:$F$6</definedName>
    <definedName name="solver_rel1" localSheetId="1" hidden="1">1</definedName>
    <definedName name="solver_rhs1" localSheetId="1" hidden="1">Excel!$G$2:$G$6</definedName>
    <definedName name="solver_pre" localSheetId="1" hidden="1">0.000001</definedName>
    <definedName name="solver_itr" localSheetId="1" hidden="1">0</definedName>
    <definedName name="solver_tim" localSheetId="1" hidden="1">0</definedName>
    <definedName name="solver_tol" localSheetId="1" hidden="1">0.01</definedName>
    <definedName name="solver_sho" localSheetId="1" hidden="1">0</definedName>
    <definedName name="solver_rlx" localSheetId="1" hidden="1">0</definedName>
    <definedName name="solver_nod" localSheetId="1" hidden="1">0</definedName>
    <definedName name="solver_mip" localSheetId="1" hidden="1">0</definedName>
    <definedName name="solver_scl" localSheetId="1" hidden="1">1</definedName>
    <definedName name="solver_cvg" localSheetId="1" hidden="1">0.0001</definedName>
    <definedName name="solver_drv" localSheetId="1" hidden="1">1</definedName>
    <definedName name="solver_msl" localSheetId="1" hidden="1">0</definedName>
    <definedName name="solver_ssz" localSheetId="1" hidden="1">100</definedName>
    <definedName name="solver_rsd" localSheetId="1" hidden="1">0</definedName>
    <definedName name="solver_rbv" localSheetId="1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<sst xmlns="http://schemas.openxmlformats.org/spreadsheetml/2006/main" count="62" uniqueCount="53">
  <si>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я</t>
  </si>
  <si>
    <t>Worksheet: [Excel.xlsx]Excel</t>
  </si>
  <si>
    <t>Report Created: 10/5/2026 11:17:50 PM</t>
  </si>
  <si>
    <t>Variable Cells</t>
  </si>
  <si>
    <t>Final</t>
  </si>
  <si>
    <t>Reduced</t>
  </si>
  <si>
    <t>Objective</t>
  </si>
  <si>
    <t>Allowable</t>
  </si>
  <si>
    <t>Cell</t>
  </si>
  <si>
    <t>Name</t>
  </si>
  <si>
    <t>Value</t>
  </si>
  <si>
    <t>Cost</t>
  </si>
  <si>
    <t>Coefficient</t>
  </si>
  <si>
    <t>Increase</t>
  </si>
  <si>
    <t>Decrease</t>
  </si>
  <si>
    <t>$B$9</t>
  </si>
  <si>
    <t>Кількість яхт Sting</t>
  </si>
  <si>
    <t>$C$9</t>
  </si>
  <si>
    <t>Кількість яхт Ray</t>
  </si>
  <si>
    <t>$D$9</t>
  </si>
  <si>
    <t>Кількість яхт Breaker</t>
  </si>
  <si>
    <t>$E$9</t>
  </si>
  <si>
    <t>Кількість яхт Marlin</t>
  </si>
  <si>
    <t>Constraints</t>
  </si>
  <si>
    <t>Shadow</t>
  </si>
  <si>
    <t>Constraint</t>
  </si>
  <si>
    <t>Price</t>
  </si>
  <si>
    <t>R.H. Side</t>
  </si>
  <si>
    <t>$F$2</t>
  </si>
  <si>
    <t>Склопластик, м² Використано</t>
  </si>
  <si>
    <t>$F$3</t>
  </si>
  <si>
    <t>Столярний цех, год Використано</t>
  </si>
  <si>
    <t>$F$4</t>
  </si>
  <si>
    <t>Фарбувальний цех, год Використано</t>
  </si>
  <si>
    <t>$F$5</t>
  </si>
  <si>
    <t>Такелаж, компл. Використано</t>
  </si>
  <si>
    <t>$F$6</t>
  </si>
  <si>
    <t>Ділянка добудови, год Використано</t>
  </si>
  <si>
    <t>Ресурс / показник</t>
  </si>
  <si>
    <t>Sting</t>
  </si>
  <si>
    <t>Ray</t>
  </si>
  <si>
    <t>Breaker</t>
  </si>
  <si>
    <t>Marlin</t>
  </si>
  <si>
    <t>Використано</t>
  </si>
  <si>
    <t>Запас</t>
  </si>
  <si>
    <t>Склопластик, м²</t>
  </si>
  <si>
    <t>Столярний цех, год</t>
  </si>
  <si>
    <t>Фарбувальний цех, год</t>
  </si>
  <si>
    <t>Такелаж, компл.</t>
  </si>
  <si>
    <t>Ділянка добудови, год</t>
  </si>
  <si>
    <t>Кількість яхт</t>
  </si>
  <si>
    <t>Прибуток з одиниці</t>
  </si>
  <si>
    <t>Загальний прибуток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</si>
</sst>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rgb="FFA4A0A0"/>
      </top>
      <bottom/>
      <diagonal/>
    </border>
    <border>
      <left/>
      <right/>
      <top/>
      <bottom style="thick">
        <color rgb="FFA4A0A0"/>
      </bottom>
      <diagonal/>
    </border>
    <border>
      <left/>
      <right/>
      <top/>
      <bottom style="thin">
        <color rgb="FFA4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zoomScale="77" zoomScaleNormal="77" workbookViewId="0">
      <selection activeCell="A1" sqref="A1"/>
    </sheetView>
  </sheetViews>
  <sheetFormatPr defaultColWidth="8.88888888888889" defaultRowHeight="14.4" outlineLevelCol="7"/>
  <cols>
    <col min="1" max="1" width="2.27777777777778" customWidth="1"/>
    <col min="2" max="2" width="5.88888888888889" customWidth="1"/>
    <col min="3" max="3" width="36.1111111111111" customWidth="1"/>
    <col min="4" max="4" width="12.8888888888889" customWidth="1"/>
    <col min="5" max="5" width="14.1111111111111" customWidth="1"/>
    <col min="6" max="6" width="10.8888888888889" customWidth="1"/>
    <col min="7" max="8" width="12.8888888888889" customWidth="1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6" spans="1:1">
      <c r="A6" t="s">
        <v>3</v>
      </c>
    </row>
    <row r="7" ht="15.15" spans="2:8">
      <c r="B7" s="4"/>
      <c r="C7" s="4"/>
      <c r="D7" s="4" t="s">
        <v>4</v>
      </c>
      <c r="E7" s="4" t="s">
        <v>5</v>
      </c>
      <c r="F7" s="4" t="s">
        <v>6</v>
      </c>
      <c r="G7" s="4" t="s">
        <v>7</v>
      </c>
      <c r="H7" s="4" t="s">
        <v>7</v>
      </c>
    </row>
    <row r="8" ht="15.15" spans="2:8"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</row>
    <row r="9" ht="15.15" spans="2:8">
      <c r="B9" s="6" t="s">
        <v>15</v>
      </c>
      <c r="C9" s="6" t="s">
        <v>16</v>
      </c>
      <c r="D9" s="6">
        <v>0</v>
      </c>
      <c r="E9" s="6">
        <v>-15.9259259259259</v>
      </c>
      <c r="F9" s="6">
        <v>26</v>
      </c>
      <c r="G9" s="6">
        <v>15.9259259259259</v>
      </c>
      <c r="H9" s="6">
        <v>1e+30</v>
      </c>
    </row>
    <row r="10" spans="2:8">
      <c r="B10" s="6" t="s">
        <v>17</v>
      </c>
      <c r="C10" s="6" t="s">
        <v>18</v>
      </c>
      <c r="D10" s="6">
        <v>73.9259259259259</v>
      </c>
      <c r="E10" s="6">
        <v>0</v>
      </c>
      <c r="F10" s="6">
        <v>56</v>
      </c>
      <c r="G10" s="6">
        <v>190</v>
      </c>
      <c r="H10" s="6">
        <v>1.79310344827586</v>
      </c>
    </row>
    <row r="11" spans="2:8">
      <c r="B11" s="6" t="s">
        <v>19</v>
      </c>
      <c r="C11" s="6" t="s">
        <v>20</v>
      </c>
      <c r="D11" s="6">
        <v>228.444444444444</v>
      </c>
      <c r="E11" s="6">
        <v>0</v>
      </c>
      <c r="F11" s="6">
        <v>41</v>
      </c>
      <c r="G11" s="6">
        <v>4.33333333333333</v>
      </c>
      <c r="H11" s="6">
        <v>31.6666666666667</v>
      </c>
    </row>
    <row r="12" ht="15.15" spans="2:8">
      <c r="B12" s="7" t="s">
        <v>21</v>
      </c>
      <c r="C12" s="7" t="s">
        <v>22</v>
      </c>
      <c r="D12" s="7">
        <v>0</v>
      </c>
      <c r="E12" s="7">
        <v>-1.92592592592593</v>
      </c>
      <c r="F12" s="7">
        <v>40</v>
      </c>
      <c r="G12" s="7">
        <v>1.92592592592593</v>
      </c>
      <c r="H12" s="7">
        <v>1e+30</v>
      </c>
    </row>
    <row r="14" spans="1:1">
      <c r="A14" t="s">
        <v>23</v>
      </c>
    </row>
    <row r="15" ht="15.15" spans="2:8">
      <c r="B15" s="4"/>
      <c r="C15" s="4"/>
      <c r="D15" s="4" t="s">
        <v>4</v>
      </c>
      <c r="E15" s="4" t="s">
        <v>24</v>
      </c>
      <c r="F15" s="4" t="s">
        <v>25</v>
      </c>
      <c r="G15" s="4" t="s">
        <v>7</v>
      </c>
      <c r="H15" s="4" t="s">
        <v>7</v>
      </c>
    </row>
    <row r="16" ht="15.15" spans="2:8">
      <c r="B16" s="5" t="s">
        <v>8</v>
      </c>
      <c r="C16" s="5" t="s">
        <v>9</v>
      </c>
      <c r="D16" s="5" t="s">
        <v>10</v>
      </c>
      <c r="E16" s="5" t="s">
        <v>26</v>
      </c>
      <c r="F16" s="5" t="s">
        <v>27</v>
      </c>
      <c r="G16" s="5" t="s">
        <v>13</v>
      </c>
      <c r="H16" s="5" t="s">
        <v>14</v>
      </c>
    </row>
    <row r="17" ht="15.15" spans="2:8">
      <c r="B17" s="6" t="s">
        <v>28</v>
      </c>
      <c r="C17" s="6" t="s">
        <v>29</v>
      </c>
      <c r="D17" s="6">
        <v>907.111111111111</v>
      </c>
      <c r="E17" s="6">
        <v>0</v>
      </c>
      <c r="F17" s="6">
        <v>969</v>
      </c>
      <c r="G17" s="6">
        <v>1e+30</v>
      </c>
      <c r="H17" s="6">
        <v>61.8888888888889</v>
      </c>
    </row>
    <row r="18" spans="2:8">
      <c r="B18" s="6" t="s">
        <v>30</v>
      </c>
      <c r="C18" s="6" t="s">
        <v>31</v>
      </c>
      <c r="D18" s="6">
        <v>672</v>
      </c>
      <c r="E18" s="6">
        <v>5.81481481481481</v>
      </c>
      <c r="F18" s="6">
        <v>672</v>
      </c>
      <c r="G18" s="6">
        <v>278.5</v>
      </c>
      <c r="H18" s="6">
        <v>399.2</v>
      </c>
    </row>
    <row r="19" spans="2:8">
      <c r="B19" s="6" t="s">
        <v>32</v>
      </c>
      <c r="C19" s="6" t="s">
        <v>33</v>
      </c>
      <c r="D19" s="6">
        <v>1364</v>
      </c>
      <c r="E19" s="6">
        <v>7.03703703703704</v>
      </c>
      <c r="F19" s="6">
        <v>1364</v>
      </c>
      <c r="G19" s="6">
        <v>111.4</v>
      </c>
      <c r="H19" s="6">
        <v>1028</v>
      </c>
    </row>
    <row r="20" spans="2:8">
      <c r="B20" s="6" t="s">
        <v>34</v>
      </c>
      <c r="C20" s="6" t="s">
        <v>35</v>
      </c>
      <c r="D20" s="6">
        <v>598.074074074074</v>
      </c>
      <c r="E20" s="6">
        <v>0</v>
      </c>
      <c r="F20" s="6">
        <v>878</v>
      </c>
      <c r="G20" s="6">
        <v>1e+30</v>
      </c>
      <c r="H20" s="6">
        <v>279.925925925926</v>
      </c>
    </row>
    <row r="21" ht="15.15" spans="2:8">
      <c r="B21" s="7" t="s">
        <v>36</v>
      </c>
      <c r="C21" s="7" t="s">
        <v>37</v>
      </c>
      <c r="D21" s="7">
        <v>295.703703703704</v>
      </c>
      <c r="E21" s="7">
        <v>0</v>
      </c>
      <c r="F21" s="7">
        <v>618</v>
      </c>
      <c r="G21" s="7">
        <v>1e+30</v>
      </c>
      <c r="H21" s="7">
        <v>322.296296296296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SheetLayoutView="60" workbookViewId="0">
      <selection activeCell="D20" sqref="D20"/>
    </sheetView>
  </sheetViews>
  <sheetFormatPr defaultColWidth="10" defaultRowHeight="14.4" outlineLevelCol="6"/>
  <cols>
    <col min="1" max="1" width="20.7777777777778" customWidth="1"/>
    <col min="2" max="5" width="12.8888888888889"/>
    <col min="6" max="6" width="13.2222222222222" customWidth="1"/>
  </cols>
  <sheetData>
    <row r="1" spans="1: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 s="2" t="s">
        <v>45</v>
      </c>
      <c r="B2" s="1">
        <v>4</v>
      </c>
      <c r="C2" s="1">
        <v>3</v>
      </c>
      <c r="D2" s="1">
        <v>3</v>
      </c>
      <c r="E2" s="1">
        <v>4</v>
      </c>
      <c r="F2" s="1" cm="1">
        <f t="array" ref="F2">SUMPRODUCT(B2:E2,$B$9:$E$9)</f>
        <v>907.111111111111</v>
      </c>
      <c r="G2" s="1">
        <v>969</v>
      </c>
    </row>
    <row r="3" spans="1:7">
      <c r="A3" s="2" t="s">
        <v>46</v>
      </c>
      <c r="B3" s="1">
        <v>6</v>
      </c>
      <c r="C3" s="1">
        <v>6</v>
      </c>
      <c r="D3" s="1">
        <v>1</v>
      </c>
      <c r="E3" s="1">
        <v>6</v>
      </c>
      <c r="F3" s="1" cm="1">
        <f t="array" ref="F3">SUMPRODUCT(B3:E3,$B$9:$E$9)</f>
        <v>672</v>
      </c>
      <c r="G3" s="1">
        <v>672</v>
      </c>
    </row>
    <row r="4" spans="1:7">
      <c r="A4" s="2" t="s">
        <v>47</v>
      </c>
      <c r="B4" s="1">
        <v>1</v>
      </c>
      <c r="C4" s="1">
        <v>3</v>
      </c>
      <c r="D4" s="1">
        <v>5</v>
      </c>
      <c r="E4" s="1">
        <v>1</v>
      </c>
      <c r="F4" s="1" cm="1">
        <f t="array" ref="F4">SUMPRODUCT(B4:E4,$B$9:$E$9)</f>
        <v>1364</v>
      </c>
      <c r="G4" s="1">
        <v>1364</v>
      </c>
    </row>
    <row r="5" spans="1:7">
      <c r="A5" s="2" t="s">
        <v>48</v>
      </c>
      <c r="B5" s="1">
        <v>1</v>
      </c>
      <c r="C5" s="1">
        <v>5</v>
      </c>
      <c r="D5" s="1">
        <v>1</v>
      </c>
      <c r="E5" s="1">
        <v>4</v>
      </c>
      <c r="F5" s="1" cm="1">
        <f t="array" ref="F5">SUMPRODUCT(B5:E5,$B$9:$E$9)</f>
        <v>598.074074074074</v>
      </c>
      <c r="G5" s="1">
        <v>878</v>
      </c>
    </row>
    <row r="6" spans="1:7">
      <c r="A6" s="2" t="s">
        <v>49</v>
      </c>
      <c r="B6" s="1">
        <v>4</v>
      </c>
      <c r="C6" s="1">
        <v>4</v>
      </c>
      <c r="D6" s="1">
        <v>0</v>
      </c>
      <c r="E6" s="1">
        <v>3</v>
      </c>
      <c r="F6" s="1" cm="1">
        <f t="array" ref="F6">SUMPRODUCT(B6:E6,$B$9:$E$9)</f>
        <v>295.703703703704</v>
      </c>
      <c r="G6" s="1">
        <v>618</v>
      </c>
    </row>
    <row r="9" spans="1:5">
      <c r="A9" t="s">
        <v>50</v>
      </c>
      <c r="B9">
        <v>0</v>
      </c>
      <c r="C9">
        <v>73.9259259259259</v>
      </c>
      <c r="D9">
        <v>228.444444444444</v>
      </c>
      <c r="E9">
        <v>0</v>
      </c>
    </row>
    <row r="11" spans="1:5">
      <c r="A11" t="s">
        <v>51</v>
      </c>
      <c r="B11">
        <v>26</v>
      </c>
      <c r="C11">
        <v>56</v>
      </c>
      <c r="D11">
        <v>41</v>
      </c>
      <c r="E11">
        <v>40</v>
      </c>
    </row>
    <row r="12" spans="1:2">
      <c r="A12" t="s">
        <v>52</v>
      </c>
      <c r="B12" cm="1">
        <f t="array" ref="B12">SUMPRODUCT(B11:E11,B9:E9)</f>
        <v>13506.0740740741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Sensitivity Report</vt:lpstr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nazus</cp:lastModifiedBy>
  <dcterms:created xsi:type="dcterms:W3CDTF">2026-10-05T20:08:01Z</dcterms:created>
  <dcterms:modified xsi:type="dcterms:W3CDTF">2026-10-05T21:32:43Z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1033-12.2.0.23206</vt:lpwstr>
  </property>
  <property fmtid="{D5CDD505-2E9C-101B-9397-08002B2CF9AE}" pid="3" name="ICV">
    <vt:lpwstr>36159079F1264BEDBBB7DF292A22B807_13</vt:lpwstr>
  </property>
</Properties>
</file>